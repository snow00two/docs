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otsu/Documents/classRoom/General/ExcelVBA/excel/"/>
    </mc:Choice>
  </mc:AlternateContent>
  <xr:revisionPtr revIDLastSave="0" documentId="13_ncr:1_{38446C67-547E-BF44-BD08-657F99F7A81B}" xr6:coauthVersionLast="47" xr6:coauthVersionMax="47" xr10:uidLastSave="{00000000-0000-0000-0000-000000000000}"/>
  <bookViews>
    <workbookView xWindow="0" yWindow="5400" windowWidth="23020" windowHeight="15400" xr2:uid="{00000000-000D-0000-FFFF-FFFF00000000}"/>
  </bookViews>
  <sheets>
    <sheet name="Data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6" i="1" l="1"/>
  <c r="H16" i="1"/>
  <c r="L4" i="1"/>
  <c r="H4" i="1" a="1"/>
  <c r="H4" i="1" s="1"/>
  <c r="D4" i="1"/>
  <c r="D5" i="1" l="1"/>
  <c r="D12" i="1"/>
  <c r="D7" i="1" l="1"/>
  <c r="D13" i="1"/>
  <c r="D15" i="1"/>
  <c r="D10" i="1"/>
  <c r="D6" i="1"/>
  <c r="D8" i="1"/>
  <c r="D11" i="1"/>
  <c r="D14" i="1"/>
  <c r="D9" i="1"/>
  <c r="L8" i="1" l="1"/>
  <c r="L7" i="1"/>
  <c r="L5" i="1"/>
  <c r="L6" i="1"/>
  <c r="L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<sst xmlns="http://schemas.openxmlformats.org/spreadsheetml/2006/main" count="20" uniqueCount="16">
  <si>
    <t>成績</t>
  </si>
  <si>
    <t>成績分布</t>
  </si>
  <si>
    <t>閾値</t>
  </si>
  <si>
    <t>ラベル</t>
  </si>
  <si>
    <t>未</t>
  </si>
  <si>
    <t>合計</t>
  </si>
  <si>
    <t>最終成績</t>
  </si>
  <si>
    <t>A</t>
  </si>
  <si>
    <t>B</t>
  </si>
  <si>
    <t>C</t>
  </si>
  <si>
    <t>F</t>
  </si>
  <si>
    <t>分布</t>
  </si>
  <si>
    <t>S</t>
  </si>
  <si>
    <t>数学</t>
  </si>
  <si>
    <t>番号</t>
  </si>
  <si>
    <t>最終成績分布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</si>
</sst>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 x14ac:knownFonts="1"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8"/>
      <color rgb="FF006100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9C5700"/>
      <name val="Calibri"/>
      <family val="2"/>
      <scheme val="minor"/>
    </font>
    <font>
      <sz val="18"/>
      <color rgb="FF3F3F76"/>
      <name val="Calibri"/>
      <family val="2"/>
      <scheme val="minor"/>
    </font>
    <font>
      <b/>
      <sz val="18"/>
      <color rgb="FF3F3F3F"/>
      <name val="Calibri"/>
      <family val="2"/>
      <scheme val="minor"/>
    </font>
    <font>
      <b/>
      <sz val="18"/>
      <color rgb="FFFA7D00"/>
      <name val="Calibri"/>
      <family val="2"/>
      <scheme val="minor"/>
    </font>
    <font>
      <sz val="18"/>
      <color rgb="FFFA7D0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8"/>
      <color rgb="FFFF0000"/>
      <name val="Calibri"/>
      <family val="2"/>
      <scheme val="minor"/>
    </font>
    <font>
      <i/>
      <sz val="18"/>
      <color rgb="FF7F7F7F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thick">
        <color auto="1"/>
      </bottom>
      <diagonal/>
    </border>
  </borders>
  <cellStyleXfs count="47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22" fillId="0" borderId="0"/>
    <xf numFmtId="0" fontId="3" fillId="0" borderId="0"/>
    <xf numFmtId="0" fontId="2" fillId="0" borderId="0"/>
    <xf numFmtId="0" fontId="1" fillId="0" borderId="0"/>
    <xf numFmtId="0" fontId="23" fillId="0" borderId="0"/>
  </cellStyleXfs>
  <cellXfs count="15">
    <xf numFmtId="0" fontId="0" fillId="0" borderId="0" xfId="0"/>
    <xf numFmtId="0" fontId="0" fillId="33" borderId="0" xfId="0" applyFill="1"/>
    <xf numFmtId="0" fontId="0" fillId="33" borderId="10" xfId="0" applyFill="1" applyBorder="1"/>
    <xf numFmtId="0" fontId="0" fillId="33" borderId="12" xfId="0" applyFill="1" applyBorder="1"/>
    <xf numFmtId="0" fontId="0" fillId="33" borderId="13" xfId="0" applyFill="1" applyBorder="1"/>
    <xf numFmtId="164" fontId="0" fillId="33" borderId="13" xfId="0" applyNumberFormat="1" applyFill="1" applyBorder="1"/>
    <xf numFmtId="0" fontId="21" fillId="33" borderId="12" xfId="0" applyFont="1" applyFill="1" applyBorder="1"/>
    <xf numFmtId="0" fontId="0" fillId="33" borderId="11" xfId="0" applyFill="1" applyBorder="1" applyAlignment="1">
      <alignment horizontal="right"/>
    </xf>
    <xf numFmtId="0" fontId="0" fillId="33" borderId="12" xfId="0" applyFill="1" applyBorder="1" applyAlignment="1">
      <alignment horizontal="right"/>
    </xf>
    <xf numFmtId="0" fontId="0" fillId="33" borderId="14" xfId="0" applyFill="1" applyBorder="1"/>
    <xf numFmtId="0" fontId="0" fillId="33" borderId="14" xfId="0" applyFill="1" applyBorder="1" applyAlignment="1">
      <alignment horizontal="right"/>
    </xf>
    <xf numFmtId="164" fontId="0" fillId="33" borderId="0" xfId="0" applyNumberFormat="1" applyFill="1"/>
    <xf numFmtId="0" fontId="0" fillId="0" borderId="11" xfId="0" applyBorder="1" applyAlignment="1">
      <alignment horizontal="right"/>
    </xf>
    <xf numFmtId="1" fontId="21" fillId="0" borderId="12" xfId="0" applyNumberFormat="1" applyFont="1" applyBorder="1"/>
    <xf numFmtId="14" fontId="0" fillId="33" borderId="11" xfId="0" applyNumberFormat="1" applyFill="1" applyBorder="1" applyAlignment="1">
      <alignment horizontal="right"/>
    </xf>
  </cellXfs>
  <cellStyles count="47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8D8EEB86-89B4-7148-8C0B-2AA721F8CEAA}"/>
    <cellStyle name="Normal 2 2" xfId="43" xr:uid="{A87B59DD-6E05-CA41-A6A7-69E35E4BA9EC}"/>
    <cellStyle name="Normal 3" xfId="44" xr:uid="{CFE0C209-18EE-E84D-952F-3C39605E54AF}"/>
    <cellStyle name="Normal 4" xfId="45" xr:uid="{28C4687A-804D-CE4A-9C3A-3A15CB83490E}"/>
    <cellStyle name="Normal 5" xfId="46" xr:uid="{31C4E326-9358-FF4B-B756-997534501E81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baseline="0">
                <a:effectLst/>
              </a:rPr>
              <a:t>最終成績</a:t>
            </a:r>
            <a:r>
              <a:rPr lang="ja-JP" alt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Data!$L$3</c:f>
              <c:strCache>
                <c:ptCount val="1"/>
                <c:pt idx="0">
                  <c:v>分布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Data!$J$4:$J$8</c:f>
              <c:strCache>
                <c:ptCount val="5"/>
                <c:pt idx="0">
                  <c:v>S</c:v>
                </c:pt>
                <c:pt idx="1">
                  <c:v>A</c:v>
                </c:pt>
                <c:pt idx="2">
                  <c:v>B</c:v>
                </c:pt>
                <c:pt idx="3">
                  <c:v>C</c:v>
                </c:pt>
                <c:pt idx="4">
                  <c:v>F</c:v>
                </c:pt>
              </c:strCache>
            </c:strRef>
          </c:cat>
          <c:val>
            <c:numRef>
              <c:f>Data!$L$4:$L$8</c:f>
              <c:numCache>
                <c:formatCode>General</c:formatCode>
                <c:ptCount val="5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13-E842-9F44-1C5715862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"/>
        <c:overlap val="100"/>
        <c:axId val="347100112"/>
        <c:axId val="347101744"/>
        <c:extLst/>
      </c:barChart>
      <c:catAx>
        <c:axId val="347100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347101744"/>
        <c:crosses val="autoZero"/>
        <c:auto val="1"/>
        <c:lblAlgn val="ctr"/>
        <c:lblOffset val="100"/>
        <c:noMultiLvlLbl val="0"/>
      </c:catAx>
      <c:valAx>
        <c:axId val="347101744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347100112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Data!$C$3</c:f>
              <c:strCache>
                <c:ptCount val="1"/>
                <c:pt idx="0">
                  <c:v>成績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Data!$G$4:$G$15</c:f>
              <c:strCache>
                <c:ptCount val="12"/>
                <c:pt idx="0">
                  <c:v>未</c:v>
                </c:pt>
                <c:pt idx="1">
                  <c:v>0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</c:strCache>
            </c:strRef>
          </c:cat>
          <c:val>
            <c:numRef>
              <c:f>Data!$H$4:$H$15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47-614F-A8F0-7DB4685BE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"/>
        <c:overlap val="94"/>
        <c:axId val="1012690751"/>
        <c:axId val="1012680895"/>
      </c:barChart>
      <c:catAx>
        <c:axId val="101269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012680895"/>
        <c:crosses val="autoZero"/>
        <c:auto val="1"/>
        <c:lblAlgn val="ctr"/>
        <c:lblOffset val="100"/>
        <c:noMultiLvlLbl val="0"/>
      </c:catAx>
      <c:valAx>
        <c:axId val="1012680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JP"/>
          </a:p>
        </c:txPr>
        <c:crossAx val="1012690751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635000</xdr:colOff>
      <xdr:row>17</xdr:row>
      <xdr:rowOff>8466</xdr:rowOff>
    </xdr:from>
    <xdr:to>
      <xdr:col>12</xdr:col>
      <xdr:colOff>59267</xdr:colOff>
      <xdr:row>25</xdr:row>
      <xdr:rowOff>194733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6F2E74-4B70-014C-9C9B-9B792C1F87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25401</xdr:colOff>
      <xdr:row>17</xdr:row>
      <xdr:rowOff>29632</xdr:rowOff>
    </xdr:from>
    <xdr:to>
      <xdr:col>7</xdr:col>
      <xdr:colOff>635001</xdr:colOff>
      <xdr:row>26</xdr:row>
      <xdr:rowOff>29632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4B0190-C16C-02A8-888F-9D3697CC86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L17"/>
  <sheetViews>
    <sheetView tabSelected="1" topLeftCell="A12" zoomScale="150" zoomScaleNormal="150" workbookViewId="0">
      <selection activeCell="J3" sqref="J3"/>
    </sheetView>
  </sheetViews>
  <sheetFormatPr baseColWidth="10" defaultRowHeight="24" x14ac:dyDescent="0.3"/>
  <cols>
    <col min="1" max="1" width="2.77734375" style="1" customWidth="1"/>
    <col min="2" max="3" width="6.77734375" style="1" customWidth="1"/>
    <col min="4" max="4" width="8.21875" style="1" customWidth="1"/>
    <col min="5" max="12" width="6.77734375" style="1" customWidth="1"/>
    <col min="13" max="14" width="5.77734375" style="1" customWidth="1"/>
    <col min="15" max="16384" width="10.77734375" style="1"/>
  </cols>
  <sheetData>
    <row r="1" spans="2:12" ht="25" thickBot="1" x14ac:dyDescent="0.35"/>
    <row r="2" spans="2:12" ht="25" thickTop="1" x14ac:dyDescent="0.3">
      <c r="B2" s="2" t="s">
        <v>13</v>
      </c>
      <c r="C2" s="2"/>
      <c r="D2" s="2"/>
      <c r="F2" s="2" t="s">
        <v>1</v>
      </c>
      <c r="G2" s="2"/>
      <c r="H2" s="2"/>
      <c r="J2" s="2" t="s">
        <v>15</v>
      </c>
      <c r="K2" s="2"/>
      <c r="L2" s="2"/>
    </row>
    <row r="3" spans="2:12" x14ac:dyDescent="0.3">
      <c r="B3" s="14" t="s">
        <v>14</v>
      </c>
      <c r="C3" s="12" t="s">
        <v>0</v>
      </c>
      <c r="D3" s="7" t="s">
        <v>6</v>
      </c>
      <c r="F3" s="7" t="s">
        <v>2</v>
      </c>
      <c r="G3" s="7" t="s">
        <v>3</v>
      </c>
      <c r="H3" s="7" t="s">
        <v>11</v>
      </c>
      <c r="J3" s="7" t="s">
        <v>0</v>
      </c>
      <c r="K3" s="7" t="s">
        <v>2</v>
      </c>
      <c r="L3" s="7" t="s">
        <v>11</v>
      </c>
    </row>
    <row r="4" spans="2:12" x14ac:dyDescent="0.3">
      <c r="B4" s="3">
        <v>1</v>
      </c>
      <c r="C4" s="13">
        <v>65</v>
      </c>
      <c r="D4" s="8" t="str">
        <f>IF(C4&gt;=$K$4,$J$4,IF(C4&gt;=$K$5,$J$5,IF(C4&gt;=$K$6,$J$6,IF(C4&gt;=$K$7,$J$7,$J$8))))</f>
        <v>B</v>
      </c>
      <c r="F4" s="3"/>
      <c r="G4" s="8" t="s">
        <v>4</v>
      </c>
      <c r="H4" s="3" cm="1">
        <f t="array" ref="H4:H15">FREQUENCY(C4:C15,F4:F15)</f>
        <v>0</v>
      </c>
      <c r="J4" s="8" t="s">
        <v>12</v>
      </c>
      <c r="K4" s="6">
        <v>90</v>
      </c>
      <c r="L4" s="3">
        <f>COUNTIF($D$4:$D$15,J4)</f>
        <v>4</v>
      </c>
    </row>
    <row r="5" spans="2:12" x14ac:dyDescent="0.3">
      <c r="B5" s="3">
        <v>2</v>
      </c>
      <c r="C5" s="13">
        <v>85</v>
      </c>
      <c r="D5" s="8" t="str">
        <f t="shared" ref="D5:D15" si="0">IF(C5&gt;=$K$4,$J$4,IF(C5&gt;=$K$5,$J$5,IF(C5&gt;=$K$6,$J$6,IF(C5&gt;=$K$7,$J$7,$J$8))))</f>
        <v>A</v>
      </c>
      <c r="F5" s="3">
        <v>0</v>
      </c>
      <c r="G5" s="3">
        <v>0</v>
      </c>
      <c r="H5" s="3">
        <v>0</v>
      </c>
      <c r="J5" s="8" t="s">
        <v>7</v>
      </c>
      <c r="K5" s="6">
        <v>80</v>
      </c>
      <c r="L5" s="3">
        <f>COUNTIF($D$4:$D$15,J5)</f>
        <v>4</v>
      </c>
    </row>
    <row r="6" spans="2:12" x14ac:dyDescent="0.3">
      <c r="B6" s="3">
        <v>3</v>
      </c>
      <c r="C6" s="13">
        <v>90</v>
      </c>
      <c r="D6" s="8" t="str">
        <f t="shared" si="0"/>
        <v>S</v>
      </c>
      <c r="F6" s="3">
        <v>9</v>
      </c>
      <c r="G6" s="3">
        <v>10</v>
      </c>
      <c r="H6" s="3">
        <v>0</v>
      </c>
      <c r="J6" s="8" t="s">
        <v>8</v>
      </c>
      <c r="K6" s="6">
        <v>60</v>
      </c>
      <c r="L6" s="3">
        <f>COUNTIF($D$4:$D$15,J6)</f>
        <v>3</v>
      </c>
    </row>
    <row r="7" spans="2:12" x14ac:dyDescent="0.3">
      <c r="B7" s="3">
        <v>4</v>
      </c>
      <c r="C7" s="13">
        <v>55</v>
      </c>
      <c r="D7" s="8" t="str">
        <f t="shared" si="0"/>
        <v>C</v>
      </c>
      <c r="F7" s="3">
        <v>19</v>
      </c>
      <c r="G7" s="3">
        <v>20</v>
      </c>
      <c r="H7" s="3">
        <v>0</v>
      </c>
      <c r="J7" s="8" t="s">
        <v>9</v>
      </c>
      <c r="K7" s="6">
        <v>40</v>
      </c>
      <c r="L7" s="3">
        <f>COUNTIF($D$4:$D$15,J7)</f>
        <v>1</v>
      </c>
    </row>
    <row r="8" spans="2:12" x14ac:dyDescent="0.3">
      <c r="B8" s="3">
        <v>5</v>
      </c>
      <c r="C8" s="13">
        <v>75</v>
      </c>
      <c r="D8" s="8" t="str">
        <f t="shared" si="0"/>
        <v>B</v>
      </c>
      <c r="F8" s="3">
        <v>29</v>
      </c>
      <c r="G8" s="3">
        <v>30</v>
      </c>
      <c r="H8" s="3">
        <v>0</v>
      </c>
      <c r="J8" s="8" t="s">
        <v>10</v>
      </c>
      <c r="K8" s="6"/>
      <c r="L8" s="3">
        <f>COUNTIF($D$4:$D$15,J8)</f>
        <v>0</v>
      </c>
    </row>
    <row r="9" spans="2:12" ht="25" thickBot="1" x14ac:dyDescent="0.35">
      <c r="B9" s="3">
        <v>6</v>
      </c>
      <c r="C9" s="13">
        <v>85</v>
      </c>
      <c r="D9" s="8" t="str">
        <f t="shared" si="0"/>
        <v>A</v>
      </c>
      <c r="F9" s="3">
        <v>39</v>
      </c>
      <c r="G9" s="3">
        <v>40</v>
      </c>
      <c r="H9" s="3">
        <v>0</v>
      </c>
      <c r="J9" s="9"/>
      <c r="K9" s="10" t="s">
        <v>5</v>
      </c>
      <c r="L9" s="9">
        <f>SUM(L4:L8)</f>
        <v>12</v>
      </c>
    </row>
    <row r="10" spans="2:12" ht="25" thickTop="1" x14ac:dyDescent="0.3">
      <c r="B10" s="3">
        <v>7</v>
      </c>
      <c r="C10" s="13">
        <v>90</v>
      </c>
      <c r="D10" s="8" t="str">
        <f t="shared" si="0"/>
        <v>S</v>
      </c>
      <c r="F10" s="3">
        <v>49</v>
      </c>
      <c r="G10" s="3">
        <v>50</v>
      </c>
      <c r="H10" s="3">
        <v>1</v>
      </c>
    </row>
    <row r="11" spans="2:12" x14ac:dyDescent="0.3">
      <c r="B11" s="3">
        <v>8</v>
      </c>
      <c r="C11" s="13">
        <v>100</v>
      </c>
      <c r="D11" s="8" t="str">
        <f t="shared" si="0"/>
        <v>S</v>
      </c>
      <c r="F11" s="3">
        <v>59</v>
      </c>
      <c r="G11" s="3">
        <v>60</v>
      </c>
      <c r="H11" s="3">
        <v>1</v>
      </c>
    </row>
    <row r="12" spans="2:12" x14ac:dyDescent="0.3">
      <c r="B12" s="3">
        <v>9</v>
      </c>
      <c r="C12" s="13">
        <v>85</v>
      </c>
      <c r="D12" s="8" t="str">
        <f t="shared" si="0"/>
        <v>A</v>
      </c>
      <c r="F12" s="3">
        <v>69</v>
      </c>
      <c r="G12" s="3">
        <v>70</v>
      </c>
      <c r="H12" s="3">
        <v>2</v>
      </c>
    </row>
    <row r="13" spans="2:12" x14ac:dyDescent="0.3">
      <c r="B13" s="3">
        <v>10</v>
      </c>
      <c r="C13" s="13">
        <v>95</v>
      </c>
      <c r="D13" s="8" t="str">
        <f t="shared" si="0"/>
        <v>S</v>
      </c>
      <c r="F13" s="3">
        <v>79</v>
      </c>
      <c r="G13" s="3">
        <v>80</v>
      </c>
      <c r="H13" s="3">
        <v>4</v>
      </c>
    </row>
    <row r="14" spans="2:12" x14ac:dyDescent="0.3">
      <c r="B14" s="3">
        <v>11</v>
      </c>
      <c r="C14" s="13">
        <v>85</v>
      </c>
      <c r="D14" s="8" t="str">
        <f t="shared" si="0"/>
        <v>A</v>
      </c>
      <c r="F14" s="3">
        <v>89</v>
      </c>
      <c r="G14" s="3">
        <v>90</v>
      </c>
      <c r="H14" s="3">
        <v>3</v>
      </c>
    </row>
    <row r="15" spans="2:12" x14ac:dyDescent="0.3">
      <c r="B15" s="3">
        <v>12</v>
      </c>
      <c r="C15" s="13">
        <v>70</v>
      </c>
      <c r="D15" s="8" t="str">
        <f t="shared" si="0"/>
        <v>B</v>
      </c>
      <c r="F15" s="3">
        <v>99</v>
      </c>
      <c r="G15" s="3">
        <v>100</v>
      </c>
      <c r="H15" s="3">
        <v>1</v>
      </c>
    </row>
    <row r="16" spans="2:12" ht="25" thickBot="1" x14ac:dyDescent="0.35">
      <c r="B16" s="4"/>
      <c r="C16" s="5">
        <f>AVERAGE(C4:C15)</f>
        <v>81.666666666666671</v>
      </c>
      <c r="D16" s="4"/>
      <c r="F16" s="9"/>
      <c r="G16" s="10" t="s">
        <v>5</v>
      </c>
      <c r="H16" s="9">
        <f>SUM(H4:H15)</f>
        <v>12</v>
      </c>
    </row>
    <row r="17" spans="3:3" x14ac:dyDescent="0.3">
      <c r="C17" s="11"/>
    </row>
  </sheetData>
  <conditionalFormatting sqref="C4:C15">
    <cfRule type="cellIs" dxfId="0" priority="4" operator="lessThan">
      <formula>60</formula>
    </cfRule>
  </conditionalFormatting>
  <pageMargins left="0.75" right="0.75" top="1" bottom="1" header="0.5" footer="0.5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OTSU YUKIO</cp:lastModifiedBy>
  <cp:lastPrinted>2024-01-10T02:05:18Z</cp:lastPrinted>
  <dcterms:created xsi:type="dcterms:W3CDTF">2018-07-18T05:59:05Z</dcterms:created>
  <dcterms:modified xsi:type="dcterms:W3CDTF">2026-08-09T23:13:26Z</dcterms:modified>
</cp:coreProperties>
</file>